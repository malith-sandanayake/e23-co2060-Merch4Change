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My Documents\University\Sem 3\CO2060\Mid Presentation\"/>
    </mc:Choice>
  </mc:AlternateContent>
  <bookViews>
    <workbookView xWindow="0" yWindow="0" windowWidth="28800" windowHeight="12915"/>
  </bookViews>
  <sheets>
    <sheet name="Project schedule" sheetId="11" r:id="rId1"/>
    <sheet name="About" sheetId="12" r:id="rId2"/>
  </sheets>
  <definedNames>
    <definedName name="Display_Week">'Project schedule'!$O$2</definedName>
    <definedName name="_xlnm.Print_Titles" localSheetId="0">'Project schedule'!$4:$6</definedName>
    <definedName name="Project_Start">'Project schedule'!$O$1</definedName>
    <definedName name="task_end" localSheetId="0">'Project schedule'!$D1</definedName>
    <definedName name="task_progress" localSheetId="0">'Project schedule'!#REF!</definedName>
    <definedName name="task_start" localSheetId="0">'Project schedule'!$C1</definedName>
    <definedName name="today" localSheetId="0">TODAY()</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11" l="1"/>
  <c r="D20" i="11"/>
  <c r="D19" i="11"/>
  <c r="C20" i="11"/>
  <c r="C19" i="11"/>
  <c r="O1" i="11"/>
  <c r="F19" i="11" l="1"/>
  <c r="F7" i="11"/>
  <c r="C9" i="11" l="1"/>
  <c r="D9" i="11" l="1"/>
  <c r="C10" i="11" s="1"/>
  <c r="D10" i="11" s="1"/>
  <c r="C11" i="11" s="1"/>
  <c r="D11" i="11" s="1"/>
  <c r="C13" i="11" s="1"/>
  <c r="D13" i="11" s="1"/>
  <c r="G5" i="11"/>
  <c r="G4" i="11" s="1"/>
  <c r="F26" i="11"/>
  <c r="F25" i="11"/>
  <c r="F21" i="11"/>
  <c r="F16" i="11"/>
  <c r="F12" i="11"/>
  <c r="F8" i="11"/>
  <c r="F9" i="11" l="1"/>
  <c r="C14" i="11"/>
  <c r="D14" i="11" s="1"/>
  <c r="C15" i="11" s="1"/>
  <c r="G6" i="11"/>
  <c r="D15" i="11" l="1"/>
  <c r="C17" i="11" s="1"/>
  <c r="F10" i="11"/>
  <c r="F13" i="11"/>
  <c r="H5" i="11"/>
  <c r="I5" i="11" s="1"/>
  <c r="J5" i="11" s="1"/>
  <c r="K5" i="11" s="1"/>
  <c r="L5" i="11" s="1"/>
  <c r="M5" i="11" s="1"/>
  <c r="N5" i="11" s="1"/>
  <c r="F15" i="11" l="1"/>
  <c r="D17" i="11"/>
  <c r="C18" i="11" s="1"/>
  <c r="D18" i="11" s="1"/>
  <c r="C22" i="11"/>
  <c r="C23" i="11" s="1"/>
  <c r="D23" i="11" s="1"/>
  <c r="C24" i="11" s="1"/>
  <c r="D24" i="11" s="1"/>
  <c r="F14" i="11"/>
  <c r="F11" i="11"/>
  <c r="N4" i="11"/>
  <c r="O5" i="11"/>
  <c r="P5" i="11" s="1"/>
  <c r="Q5" i="11" s="1"/>
  <c r="R5" i="11" s="1"/>
  <c r="S5" i="11" s="1"/>
  <c r="T5" i="11" s="1"/>
  <c r="U5" i="11" s="1"/>
  <c r="H6" i="11"/>
  <c r="F17" i="11" l="1"/>
  <c r="F18" i="11"/>
  <c r="U4" i="11"/>
  <c r="V5" i="11"/>
  <c r="W5" i="11" s="1"/>
  <c r="X5" i="11" s="1"/>
  <c r="Y5" i="11" s="1"/>
  <c r="Z5" i="11" s="1"/>
  <c r="AA5" i="11" s="1"/>
  <c r="AB5" i="11" s="1"/>
  <c r="I6" i="11"/>
  <c r="F22" i="11" l="1"/>
  <c r="F23" i="11"/>
  <c r="F24" i="11"/>
  <c r="F20" i="11"/>
  <c r="AC5" i="11"/>
  <c r="AD5" i="11" s="1"/>
  <c r="AE5" i="11" s="1"/>
  <c r="AF5" i="11" s="1"/>
  <c r="AG5" i="11" s="1"/>
  <c r="AH5" i="11" s="1"/>
  <c r="AB4" i="11"/>
  <c r="J6" i="11"/>
  <c r="AI5" i="11" l="1"/>
  <c r="AJ5" i="11" s="1"/>
  <c r="AK5" i="11" s="1"/>
  <c r="AL5" i="11" s="1"/>
  <c r="AM5" i="11" s="1"/>
  <c r="AN5" i="11" s="1"/>
  <c r="AO5" i="11" s="1"/>
  <c r="K6" i="11"/>
  <c r="AP5" i="11" l="1"/>
  <c r="AQ5" i="11" s="1"/>
  <c r="AI4" i="11"/>
  <c r="L6" i="11"/>
  <c r="AR5" i="11" l="1"/>
  <c r="AQ6" i="11"/>
  <c r="AP4" i="11"/>
  <c r="M6" i="11"/>
  <c r="AS5" i="11" l="1"/>
  <c r="AR6" i="11"/>
  <c r="AT5" i="11" l="1"/>
  <c r="AS6" i="11"/>
  <c r="N6" i="11"/>
  <c r="O6" i="11"/>
  <c r="AU5" i="11" l="1"/>
  <c r="AT6" i="11"/>
  <c r="P6" i="11"/>
  <c r="AV5" i="11" l="1"/>
  <c r="AW5" i="11" s="1"/>
  <c r="AU6" i="11"/>
  <c r="Q6" i="11"/>
  <c r="AW6" i="11" l="1"/>
  <c r="AX5" i="11"/>
  <c r="AW4" i="11"/>
  <c r="AV6" i="11"/>
  <c r="R6" i="11"/>
  <c r="AY5" i="11" l="1"/>
  <c r="AX6" i="11"/>
  <c r="S6" i="11"/>
  <c r="AY6" i="11" l="1"/>
  <c r="AZ5" i="11"/>
  <c r="T6" i="11"/>
  <c r="AZ6" i="11" l="1"/>
  <c r="BA5" i="11"/>
  <c r="U6" i="11"/>
  <c r="BA6" i="11" l="1"/>
  <c r="BB5" i="11"/>
  <c r="V6" i="11"/>
  <c r="BC5" i="11" l="1"/>
  <c r="BB6" i="11"/>
  <c r="W6" i="11"/>
  <c r="BC6" i="11" l="1"/>
  <c r="BD5" i="11"/>
  <c r="X6" i="11"/>
  <c r="BD6" i="11" l="1"/>
  <c r="BE5" i="11"/>
  <c r="BD4" i="11"/>
  <c r="Y6" i="11"/>
  <c r="BE6" i="11" l="1"/>
  <c r="BF5" i="11"/>
  <c r="Z6" i="11"/>
  <c r="BG5" i="11" l="1"/>
  <c r="BF6" i="11"/>
  <c r="AA6" i="11"/>
  <c r="BH5" i="11" l="1"/>
  <c r="BG6" i="11"/>
  <c r="AB6" i="11"/>
  <c r="BI5" i="11" l="1"/>
  <c r="BH6" i="11"/>
  <c r="AC6" i="11"/>
  <c r="BJ5" i="11" l="1"/>
  <c r="BI6" i="11"/>
  <c r="AD6" i="11"/>
  <c r="BJ6" i="11" l="1"/>
  <c r="AE6" i="11"/>
  <c r="AF6" i="11" l="1"/>
  <c r="AG6" i="11" l="1"/>
  <c r="AH6" i="11" l="1"/>
  <c r="AI6" i="11" l="1"/>
  <c r="AJ6" i="11" l="1"/>
  <c r="AK6" i="11" l="1"/>
  <c r="AL6" i="11" l="1"/>
  <c r="AM6" i="11" l="1"/>
  <c r="AN6" i="11" l="1"/>
  <c r="AO6" i="11" l="1"/>
  <c r="AP6" i="11" l="1"/>
</calcChain>
</file>

<file path=xl/sharedStrings.xml><?xml version="1.0" encoding="utf-8"?>
<sst xmlns="http://schemas.openxmlformats.org/spreadsheetml/2006/main" count="39" uniqueCount="39">
  <si>
    <t>Project start:</t>
  </si>
  <si>
    <t>Display week:</t>
  </si>
  <si>
    <t>SIMPLE GANTT CHART by Vertex42.com</t>
  </si>
  <si>
    <t>TASK</t>
  </si>
  <si>
    <t>START</t>
  </si>
  <si>
    <t>END</t>
  </si>
  <si>
    <t xml:space="preserve">Do not delete this row. This row is hidden to preserve a formula that is used to highlight the current day within the project schedule. </t>
  </si>
  <si>
    <t>Initiation</t>
  </si>
  <si>
    <t>Planning and design</t>
  </si>
  <si>
    <t>Create schedule</t>
  </si>
  <si>
    <t>Execution</t>
  </si>
  <si>
    <t>Monitor progress</t>
  </si>
  <si>
    <t>Evaluation</t>
  </si>
  <si>
    <t>Evaluate progress</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</si>
  <si>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</si>
  <si>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</si>
  <si>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</si>
  <si>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</si>
  <si>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</si>
  <si>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</si>
  <si>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</si>
  <si>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</si>
  <si>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</si>
  <si>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</si>
  <si>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</si>
  <si>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</si>
  <si>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</si>
  <si>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</si>
  <si>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Merch4Change</t>
  </si>
  <si>
    <t>Define product vision and objectives</t>
  </si>
  <si>
    <t>Identify Stake holders</t>
  </si>
  <si>
    <t>Define high-level system scope</t>
  </si>
  <si>
    <t>Identify functions and features</t>
  </si>
  <si>
    <t>Software Requirement Specification</t>
  </si>
  <si>
    <t>UI design</t>
  </si>
  <si>
    <t>Back end programming</t>
  </si>
  <si>
    <t>Database initialization</t>
  </si>
  <si>
    <t>Testing</t>
  </si>
  <si>
    <t>Deployment and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</si>
</sst>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m/d/yy;@"/>
    <numFmt numFmtId="165" formatCode="ddd\,\ m/d/yyyy"/>
    <numFmt numFmtId="166" formatCode="mmm\ d\,\ yyyy"/>
    <numFmt numFmtId="167" formatCode="d"/>
  </numFmts>
  <fonts count="3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11"/>
      <color rgb="FF9C6500"/>
      <name val="Arial"/>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EB9C"/>
      </patternFill>
    </fill>
    <fill>
      <patternFill patternType="solid">
        <fgColor rgb="FFFFE20D"/>
        <bgColor indexed="64"/>
      </patternFill>
    </fill>
    <fill>
      <patternFill patternType="solid">
        <fgColor theme="0"/>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0" fontId="29" fillId="13" borderId="0" applyNumberFormat="0" applyBorder="0" applyAlignment="0" applyProtection="0"/>
  </cellStyleXfs>
  <cellXfs count="9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2"/>
    <xf numFmtId="0" fontId="11" fillId="0" borderId="0" xfId="0" applyFont="1" applyAlignment="1">
      <alignment horizontal="center"/>
    </xf>
    <xf numFmtId="0" fontId="3" fillId="0" borderId="0" xfId="0" applyFont="1" applyAlignment="1">
      <alignment horizontal="center" vertical="center"/>
    </xf>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8" fillId="12" borderId="20" xfId="0" applyNumberFormat="1" applyFont="1" applyFill="1" applyBorder="1" applyAlignment="1">
      <alignment horizontal="center" vertical="center"/>
    </xf>
    <xf numFmtId="167" fontId="18" fillId="12" borderId="18" xfId="0" applyNumberFormat="1" applyFont="1" applyFill="1" applyBorder="1" applyAlignment="1">
      <alignment horizontal="center" vertical="center"/>
    </xf>
    <xf numFmtId="167" fontId="18" fillId="12" borderId="19" xfId="0" applyNumberFormat="1" applyFont="1" applyFill="1" applyBorder="1" applyAlignment="1">
      <alignment horizontal="center" vertical="center"/>
    </xf>
    <xf numFmtId="0" fontId="19" fillId="2" borderId="17"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9" fillId="2" borderId="15"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20" fillId="6" borderId="0" xfId="0" applyFont="1" applyFill="1" applyAlignment="1">
      <alignment horizontal="left" vertical="center" indent="1"/>
    </xf>
    <xf numFmtId="164" fontId="16"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6" fillId="3" borderId="6" xfId="11" applyFont="1" applyFill="1" applyBorder="1">
      <alignment horizontal="left" vertical="center" indent="2"/>
    </xf>
    <xf numFmtId="164" fontId="16" fillId="3" borderId="6" xfId="9" applyFont="1" applyFill="1" applyBorder="1">
      <alignment horizontal="center" vertical="center"/>
    </xf>
    <xf numFmtId="0" fontId="4" fillId="0" borderId="4" xfId="0" applyFont="1" applyBorder="1" applyAlignment="1">
      <alignment vertical="center"/>
    </xf>
    <xf numFmtId="0" fontId="16" fillId="3" borderId="7" xfId="11" applyFont="1" applyFill="1" applyBorder="1">
      <alignment horizontal="left" vertical="center" indent="2"/>
    </xf>
    <xf numFmtId="164" fontId="16" fillId="3" borderId="7" xfId="9" applyFont="1" applyFill="1" applyBorder="1">
      <alignment horizontal="center" vertical="center"/>
    </xf>
    <xf numFmtId="0" fontId="4" fillId="0" borderId="4" xfId="0" applyFont="1" applyBorder="1" applyAlignment="1">
      <alignment horizontal="right" vertical="center"/>
    </xf>
    <xf numFmtId="0" fontId="20" fillId="7" borderId="0" xfId="0" applyFont="1" applyFill="1" applyAlignment="1">
      <alignment horizontal="left" vertical="center" indent="1"/>
    </xf>
    <xf numFmtId="164" fontId="16"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6" fillId="4" borderId="5" xfId="11" applyFont="1" applyFill="1" applyBorder="1">
      <alignment horizontal="left" vertical="center" indent="2"/>
    </xf>
    <xf numFmtId="164" fontId="16" fillId="4" borderId="5" xfId="9" applyFont="1" applyFill="1" applyBorder="1">
      <alignment horizontal="center" vertical="center"/>
    </xf>
    <xf numFmtId="0" fontId="20" fillId="8" borderId="0" xfId="0" applyFont="1" applyFill="1" applyAlignment="1">
      <alignment horizontal="left" vertical="center" indent="1"/>
    </xf>
    <xf numFmtId="164" fontId="16"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6" fillId="5" borderId="8" xfId="11" applyFont="1" applyFill="1" applyBorder="1">
      <alignment horizontal="left" vertical="center" indent="2"/>
    </xf>
    <xf numFmtId="164" fontId="16" fillId="5" borderId="8" xfId="9" applyFont="1" applyFill="1" applyBorder="1">
      <alignment horizontal="center" vertical="center"/>
    </xf>
    <xf numFmtId="0" fontId="20" fillId="9" borderId="0" xfId="0" applyFont="1" applyFill="1" applyAlignment="1">
      <alignment horizontal="left" vertical="center" indent="1"/>
    </xf>
    <xf numFmtId="164" fontId="16"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6" fillId="10" borderId="9" xfId="11" applyFont="1" applyFill="1" applyBorder="1">
      <alignment horizontal="left" vertical="center" indent="2"/>
    </xf>
    <xf numFmtId="164" fontId="16" fillId="10" borderId="9" xfId="9" applyFont="1" applyFill="1" applyBorder="1">
      <alignment horizontal="center" vertical="center"/>
    </xf>
    <xf numFmtId="0" fontId="16" fillId="0" borderId="0" xfId="11" applyFont="1" applyBorder="1">
      <alignment horizontal="left" vertical="center" indent="2"/>
    </xf>
    <xf numFmtId="164" fontId="16" fillId="0" borderId="0" xfId="9" applyFont="1" applyBorder="1">
      <alignment horizontal="center" vertical="center"/>
    </xf>
    <xf numFmtId="0" fontId="21" fillId="2" borderId="0" xfId="0" applyFont="1" applyFill="1" applyAlignment="1">
      <alignment horizontal="left" vertical="center" indent="1"/>
    </xf>
    <xf numFmtId="164" fontId="22"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3" fillId="0" borderId="0" xfId="5" applyFont="1" applyAlignment="1">
      <alignment horizontal="left" vertical="center" indent="1"/>
    </xf>
    <xf numFmtId="0" fontId="26" fillId="0" borderId="0" xfId="4"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3" fillId="0" borderId="0" xfId="0" applyFont="1" applyAlignment="1">
      <alignment horizontal="left" vertical="center" indent="1"/>
    </xf>
    <xf numFmtId="0" fontId="27" fillId="0" borderId="0" xfId="0" applyFont="1" applyAlignment="1">
      <alignment horizontal="left" vertical="top" wrapText="1" indent="1"/>
    </xf>
    <xf numFmtId="0" fontId="0" fillId="0" borderId="0" xfId="0" applyAlignment="1">
      <alignment horizontal="left" vertical="top" wrapText="1" indent="1"/>
    </xf>
    <xf numFmtId="0" fontId="28" fillId="0" borderId="0" xfId="1" applyFont="1" applyAlignment="1" applyProtection="1">
      <alignment horizontal="left" vertical="top" indent="1"/>
    </xf>
    <xf numFmtId="0" fontId="1" fillId="0" borderId="0" xfId="0" applyFont="1" applyAlignment="1">
      <alignment horizontal="left" vertical="top" indent="1"/>
    </xf>
    <xf numFmtId="0" fontId="4" fillId="0" borderId="0" xfId="0" applyFont="1"/>
    <xf numFmtId="0" fontId="11" fillId="0" borderId="0" xfId="2" applyAlignment="1">
      <alignment wrapText="1"/>
    </xf>
    <xf numFmtId="166" fontId="16" fillId="2" borderId="13" xfId="0" applyNumberFormat="1" applyFont="1" applyFill="1" applyBorder="1" applyAlignment="1">
      <alignment horizontal="center" vertical="center" wrapText="1"/>
    </xf>
    <xf numFmtId="166" fontId="16" fillId="2" borderId="19" xfId="0" applyNumberFormat="1" applyFont="1" applyFill="1" applyBorder="1" applyAlignment="1">
      <alignment horizontal="center" vertical="center" wrapText="1"/>
    </xf>
    <xf numFmtId="166" fontId="16" fillId="2" borderId="18" xfId="0" applyNumberFormat="1" applyFont="1" applyFill="1" applyBorder="1" applyAlignment="1">
      <alignment horizontal="center" vertical="center" wrapText="1"/>
    </xf>
    <xf numFmtId="0" fontId="17" fillId="11" borderId="16" xfId="0" applyFont="1" applyFill="1" applyBorder="1" applyAlignment="1">
      <alignment horizontal="center" vertical="center"/>
    </xf>
    <xf numFmtId="0" fontId="4" fillId="2" borderId="21" xfId="0" applyFont="1" applyFill="1" applyBorder="1" applyAlignment="1"/>
    <xf numFmtId="0" fontId="24" fillId="0" borderId="0" xfId="0" applyFont="1" applyAlignment="1">
      <alignment horizontal="left"/>
    </xf>
    <xf numFmtId="0" fontId="25" fillId="0" borderId="0" xfId="0" applyFont="1" applyAlignment="1"/>
    <xf numFmtId="165" fontId="24" fillId="0" borderId="0" xfId="8" applyFont="1" applyBorder="1" applyAlignment="1">
      <alignment horizontal="left"/>
    </xf>
    <xf numFmtId="0" fontId="23" fillId="0" borderId="0" xfId="7" applyFont="1" applyAlignment="1">
      <alignment horizontal="left"/>
    </xf>
    <xf numFmtId="0" fontId="4" fillId="0" borderId="0" xfId="0" applyFont="1" applyAlignment="1"/>
    <xf numFmtId="0" fontId="11" fillId="0" borderId="0" xfId="2" applyAlignment="1">
      <alignment wrapText="1"/>
    </xf>
    <xf numFmtId="0" fontId="17"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9" fillId="14" borderId="4" xfId="12" applyFill="1" applyBorder="1" applyAlignment="1">
      <alignment vertical="center"/>
    </xf>
    <xf numFmtId="0" fontId="4" fillId="14" borderId="4" xfId="0" applyFont="1" applyFill="1" applyBorder="1" applyAlignment="1">
      <alignment vertical="center"/>
    </xf>
    <xf numFmtId="0" fontId="4" fillId="15" borderId="4" xfId="0" applyFont="1" applyFill="1" applyBorder="1" applyAlignment="1">
      <alignment vertical="center"/>
    </xf>
  </cellXfs>
  <cellStyles count="13">
    <cellStyle name="Comma" xfId="3" builtinId="3" customBuiltin="1"/>
    <cellStyle name="Date" xfId="9"/>
    <cellStyle name="Heading 1" xfId="5" builtinId="16" customBuiltin="1"/>
    <cellStyle name="Heading 2" xfId="6" builtinId="17" customBuiltin="1"/>
    <cellStyle name="Heading 3" xfId="7" builtinId="18" customBuiltin="1"/>
    <cellStyle name="Hyperlink" xfId="1" builtinId="8" customBuiltin="1"/>
    <cellStyle name="Name" xfId="10"/>
    <cellStyle name="Neutral" xfId="12" builtinId="28"/>
    <cellStyle name="Normal" xfId="0" builtinId="0"/>
    <cellStyle name="Project Start" xfId="8"/>
    <cellStyle name="Task" xfId="11"/>
    <cellStyle name="Title" xfId="4" builtinId="15" customBuiltin="1"/>
    <cellStyle name="zHiddenText" xfId="2"/>
  </cellStyles>
  <dxfs count="21">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E20D"/>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J28"/>
  <sheetViews>
    <sheetView showGridLines="0" tabSelected="1" showRuler="0" topLeftCell="A8" zoomScaleNormal="100" zoomScalePageLayoutView="70" workbookViewId="0">
      <selection activeCell="BM19" sqref="BM19"/>
    </sheetView>
  </sheetViews>
  <sheetFormatPr defaultColWidth="8.75" defaultRowHeight="30" customHeight="1" x14ac:dyDescent="0.2"/>
  <cols>
    <col min="1" max="1" width="2.75" style="12" customWidth="1"/>
    <col min="2" max="2" width="32.375" customWidth="1"/>
    <col min="3" max="3" width="10.75" style="2" customWidth="1"/>
    <col min="4" max="4" width="10.75" customWidth="1"/>
    <col min="5" max="5" width="2.75" customWidth="1"/>
    <col min="6" max="6" width="6" hidden="1" customWidth="1"/>
    <col min="7" max="63" width="2.75" customWidth="1"/>
  </cols>
  <sheetData>
    <row r="1" spans="1:62" ht="90" customHeight="1" x14ac:dyDescent="1.1000000000000001">
      <c r="A1" s="77"/>
      <c r="B1" s="68" t="s">
        <v>28</v>
      </c>
      <c r="C1" s="15"/>
      <c r="D1" s="16"/>
      <c r="F1" s="1"/>
      <c r="G1" s="86" t="s">
        <v>0</v>
      </c>
      <c r="H1" s="87"/>
      <c r="I1" s="87"/>
      <c r="J1" s="87"/>
      <c r="K1" s="87"/>
      <c r="L1" s="87"/>
      <c r="M1" s="87"/>
      <c r="N1" s="19"/>
      <c r="O1" s="85">
        <f>DATE(2026,1,11)</f>
        <v>46033</v>
      </c>
      <c r="P1" s="84"/>
      <c r="Q1" s="84"/>
      <c r="R1" s="84"/>
      <c r="S1" s="84"/>
      <c r="T1" s="84"/>
      <c r="U1" s="84"/>
      <c r="V1" s="84"/>
      <c r="W1" s="84"/>
      <c r="X1" s="84"/>
    </row>
    <row r="2" spans="1:62" ht="30" customHeight="1" x14ac:dyDescent="0.5">
      <c r="B2" s="67"/>
      <c r="C2" s="18"/>
      <c r="D2" s="17"/>
      <c r="G2" s="86" t="s">
        <v>1</v>
      </c>
      <c r="H2" s="87"/>
      <c r="I2" s="87"/>
      <c r="J2" s="87"/>
      <c r="K2" s="87"/>
      <c r="L2" s="87"/>
      <c r="M2" s="87"/>
      <c r="N2" s="19"/>
      <c r="O2" s="83">
        <v>1</v>
      </c>
      <c r="P2" s="84"/>
      <c r="Q2" s="84"/>
      <c r="R2" s="84"/>
      <c r="S2" s="84"/>
      <c r="T2" s="84"/>
      <c r="U2" s="84"/>
      <c r="V2" s="84"/>
      <c r="W2" s="84"/>
      <c r="X2" s="84"/>
    </row>
    <row r="3" spans="1:62" s="21" customFormat="1" ht="30" customHeight="1" x14ac:dyDescent="0.25">
      <c r="A3" s="12"/>
      <c r="B3" s="20"/>
      <c r="C3" s="22"/>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row>
    <row r="4" spans="1:62" s="21" customFormat="1" ht="30" customHeight="1" x14ac:dyDescent="0.2">
      <c r="A4" s="77"/>
      <c r="B4" s="23"/>
      <c r="C4" s="24"/>
      <c r="D4" s="76"/>
      <c r="E4" s="76"/>
      <c r="F4" s="76"/>
      <c r="G4" s="80">
        <f>G5</f>
        <v>46034</v>
      </c>
      <c r="H4" s="78"/>
      <c r="I4" s="78"/>
      <c r="J4" s="78"/>
      <c r="K4" s="78"/>
      <c r="L4" s="78"/>
      <c r="M4" s="78"/>
      <c r="N4" s="78">
        <f>N5</f>
        <v>46041</v>
      </c>
      <c r="O4" s="78"/>
      <c r="P4" s="78"/>
      <c r="Q4" s="78"/>
      <c r="R4" s="78"/>
      <c r="S4" s="78"/>
      <c r="T4" s="78"/>
      <c r="U4" s="78">
        <f>U5</f>
        <v>46048</v>
      </c>
      <c r="V4" s="78"/>
      <c r="W4" s="78"/>
      <c r="X4" s="78"/>
      <c r="Y4" s="78"/>
      <c r="Z4" s="78"/>
      <c r="AA4" s="78"/>
      <c r="AB4" s="78">
        <f>AB5</f>
        <v>46055</v>
      </c>
      <c r="AC4" s="78"/>
      <c r="AD4" s="78"/>
      <c r="AE4" s="78"/>
      <c r="AF4" s="78"/>
      <c r="AG4" s="78"/>
      <c r="AH4" s="78"/>
      <c r="AI4" s="78">
        <f>AI5</f>
        <v>46062</v>
      </c>
      <c r="AJ4" s="78"/>
      <c r="AK4" s="78"/>
      <c r="AL4" s="78"/>
      <c r="AM4" s="78"/>
      <c r="AN4" s="78"/>
      <c r="AO4" s="78"/>
      <c r="AP4" s="78">
        <f>AP5</f>
        <v>46069</v>
      </c>
      <c r="AQ4" s="78"/>
      <c r="AR4" s="78"/>
      <c r="AS4" s="78"/>
      <c r="AT4" s="78"/>
      <c r="AU4" s="78"/>
      <c r="AV4" s="78"/>
      <c r="AW4" s="78">
        <f>AW5</f>
        <v>46076</v>
      </c>
      <c r="AX4" s="78"/>
      <c r="AY4" s="78"/>
      <c r="AZ4" s="78"/>
      <c r="BA4" s="78"/>
      <c r="BB4" s="78"/>
      <c r="BC4" s="78"/>
      <c r="BD4" s="78">
        <f>BD5</f>
        <v>46083</v>
      </c>
      <c r="BE4" s="78"/>
      <c r="BF4" s="78"/>
      <c r="BG4" s="78"/>
      <c r="BH4" s="78"/>
      <c r="BI4" s="78"/>
      <c r="BJ4" s="79"/>
    </row>
    <row r="5" spans="1:62" s="21" customFormat="1" ht="15" customHeight="1" x14ac:dyDescent="0.2">
      <c r="A5" s="88"/>
      <c r="B5" s="89" t="s">
        <v>3</v>
      </c>
      <c r="C5" s="81" t="s">
        <v>4</v>
      </c>
      <c r="D5" s="81" t="s">
        <v>5</v>
      </c>
      <c r="E5" s="76"/>
      <c r="F5" s="76"/>
      <c r="G5" s="25">
        <f>Project_Start-WEEKDAY(Project_Start,1)+2+7*(Display_Week-1)</f>
        <v>46034</v>
      </c>
      <c r="H5" s="25">
        <f>G5+1</f>
        <v>46035</v>
      </c>
      <c r="I5" s="25">
        <f t="shared" ref="I5:AV5" si="0">H5+1</f>
        <v>46036</v>
      </c>
      <c r="J5" s="25">
        <f t="shared" si="0"/>
        <v>46037</v>
      </c>
      <c r="K5" s="25">
        <f t="shared" si="0"/>
        <v>46038</v>
      </c>
      <c r="L5" s="25">
        <f t="shared" si="0"/>
        <v>46039</v>
      </c>
      <c r="M5" s="26">
        <f t="shared" si="0"/>
        <v>46040</v>
      </c>
      <c r="N5" s="27">
        <f>M5+1</f>
        <v>46041</v>
      </c>
      <c r="O5" s="25">
        <f>N5+1</f>
        <v>46042</v>
      </c>
      <c r="P5" s="25">
        <f t="shared" si="0"/>
        <v>46043</v>
      </c>
      <c r="Q5" s="25">
        <f t="shared" si="0"/>
        <v>46044</v>
      </c>
      <c r="R5" s="25">
        <f t="shared" si="0"/>
        <v>46045</v>
      </c>
      <c r="S5" s="25">
        <f t="shared" si="0"/>
        <v>46046</v>
      </c>
      <c r="T5" s="26">
        <f t="shared" si="0"/>
        <v>46047</v>
      </c>
      <c r="U5" s="27">
        <f>T5+1</f>
        <v>46048</v>
      </c>
      <c r="V5" s="25">
        <f>U5+1</f>
        <v>46049</v>
      </c>
      <c r="W5" s="25">
        <f t="shared" si="0"/>
        <v>46050</v>
      </c>
      <c r="X5" s="25">
        <f t="shared" si="0"/>
        <v>46051</v>
      </c>
      <c r="Y5" s="25">
        <f t="shared" si="0"/>
        <v>46052</v>
      </c>
      <c r="Z5" s="25">
        <f t="shared" si="0"/>
        <v>46053</v>
      </c>
      <c r="AA5" s="26">
        <f t="shared" si="0"/>
        <v>46054</v>
      </c>
      <c r="AB5" s="27">
        <f>AA5+1</f>
        <v>46055</v>
      </c>
      <c r="AC5" s="25">
        <f>AB5+1</f>
        <v>46056</v>
      </c>
      <c r="AD5" s="25">
        <f t="shared" si="0"/>
        <v>46057</v>
      </c>
      <c r="AE5" s="25">
        <f t="shared" si="0"/>
        <v>46058</v>
      </c>
      <c r="AF5" s="25">
        <f t="shared" si="0"/>
        <v>46059</v>
      </c>
      <c r="AG5" s="25">
        <f t="shared" si="0"/>
        <v>46060</v>
      </c>
      <c r="AH5" s="26">
        <f t="shared" si="0"/>
        <v>46061</v>
      </c>
      <c r="AI5" s="27">
        <f>AH5+1</f>
        <v>46062</v>
      </c>
      <c r="AJ5" s="25">
        <f>AI5+1</f>
        <v>46063</v>
      </c>
      <c r="AK5" s="25">
        <f t="shared" si="0"/>
        <v>46064</v>
      </c>
      <c r="AL5" s="25">
        <f t="shared" si="0"/>
        <v>46065</v>
      </c>
      <c r="AM5" s="25">
        <f t="shared" si="0"/>
        <v>46066</v>
      </c>
      <c r="AN5" s="25">
        <f t="shared" si="0"/>
        <v>46067</v>
      </c>
      <c r="AO5" s="26">
        <f t="shared" si="0"/>
        <v>46068</v>
      </c>
      <c r="AP5" s="27">
        <f>AO5+1</f>
        <v>46069</v>
      </c>
      <c r="AQ5" s="25">
        <f>AP5+1</f>
        <v>46070</v>
      </c>
      <c r="AR5" s="25">
        <f t="shared" si="0"/>
        <v>46071</v>
      </c>
      <c r="AS5" s="25">
        <f t="shared" si="0"/>
        <v>46072</v>
      </c>
      <c r="AT5" s="25">
        <f t="shared" si="0"/>
        <v>46073</v>
      </c>
      <c r="AU5" s="25">
        <f t="shared" si="0"/>
        <v>46074</v>
      </c>
      <c r="AV5" s="26">
        <f t="shared" si="0"/>
        <v>46075</v>
      </c>
      <c r="AW5" s="27">
        <f>AV5+1</f>
        <v>46076</v>
      </c>
      <c r="AX5" s="25">
        <f>AW5+1</f>
        <v>46077</v>
      </c>
      <c r="AY5" s="25">
        <f t="shared" ref="AY5:BC5" si="1">AX5+1</f>
        <v>46078</v>
      </c>
      <c r="AZ5" s="25">
        <f t="shared" si="1"/>
        <v>46079</v>
      </c>
      <c r="BA5" s="25">
        <f t="shared" si="1"/>
        <v>46080</v>
      </c>
      <c r="BB5" s="25">
        <f t="shared" si="1"/>
        <v>46081</v>
      </c>
      <c r="BC5" s="26">
        <f t="shared" si="1"/>
        <v>46082</v>
      </c>
      <c r="BD5" s="27">
        <f>BC5+1</f>
        <v>46083</v>
      </c>
      <c r="BE5" s="25">
        <f>BD5+1</f>
        <v>46084</v>
      </c>
      <c r="BF5" s="25">
        <f t="shared" ref="BF5:BJ5" si="2">BE5+1</f>
        <v>46085</v>
      </c>
      <c r="BG5" s="25">
        <f t="shared" si="2"/>
        <v>46086</v>
      </c>
      <c r="BH5" s="25">
        <f t="shared" si="2"/>
        <v>46087</v>
      </c>
      <c r="BI5" s="25">
        <f t="shared" si="2"/>
        <v>46088</v>
      </c>
      <c r="BJ5" s="25">
        <f t="shared" si="2"/>
        <v>46089</v>
      </c>
    </row>
    <row r="6" spans="1:62" s="21" customFormat="1" ht="15" customHeight="1" thickBot="1" x14ac:dyDescent="0.25">
      <c r="A6" s="88"/>
      <c r="B6" s="90"/>
      <c r="C6" s="82"/>
      <c r="D6" s="82"/>
      <c r="E6" s="76"/>
      <c r="F6" s="76"/>
      <c r="G6" s="28" t="str">
        <f t="shared" ref="G6:AL6" si="3">LEFT(TEXT(G5,"ddd"),1)</f>
        <v>M</v>
      </c>
      <c r="H6" s="29" t="str">
        <f t="shared" si="3"/>
        <v>T</v>
      </c>
      <c r="I6" s="29" t="str">
        <f t="shared" si="3"/>
        <v>W</v>
      </c>
      <c r="J6" s="29" t="str">
        <f t="shared" si="3"/>
        <v>T</v>
      </c>
      <c r="K6" s="29" t="str">
        <f t="shared" si="3"/>
        <v>F</v>
      </c>
      <c r="L6" s="29" t="str">
        <f t="shared" si="3"/>
        <v>S</v>
      </c>
      <c r="M6" s="29" t="str">
        <f t="shared" si="3"/>
        <v>S</v>
      </c>
      <c r="N6" s="29" t="str">
        <f t="shared" si="3"/>
        <v>M</v>
      </c>
      <c r="O6" s="29" t="str">
        <f t="shared" si="3"/>
        <v>T</v>
      </c>
      <c r="P6" s="29" t="str">
        <f t="shared" si="3"/>
        <v>W</v>
      </c>
      <c r="Q6" s="29" t="str">
        <f t="shared" si="3"/>
        <v>T</v>
      </c>
      <c r="R6" s="29" t="str">
        <f t="shared" si="3"/>
        <v>F</v>
      </c>
      <c r="S6" s="29" t="str">
        <f t="shared" si="3"/>
        <v>S</v>
      </c>
      <c r="T6" s="29" t="str">
        <f t="shared" si="3"/>
        <v>S</v>
      </c>
      <c r="U6" s="29" t="str">
        <f t="shared" si="3"/>
        <v>M</v>
      </c>
      <c r="V6" s="29" t="str">
        <f t="shared" si="3"/>
        <v>T</v>
      </c>
      <c r="W6" s="29" t="str">
        <f t="shared" si="3"/>
        <v>W</v>
      </c>
      <c r="X6" s="29" t="str">
        <f t="shared" si="3"/>
        <v>T</v>
      </c>
      <c r="Y6" s="29" t="str">
        <f t="shared" si="3"/>
        <v>F</v>
      </c>
      <c r="Z6" s="29" t="str">
        <f t="shared" si="3"/>
        <v>S</v>
      </c>
      <c r="AA6" s="29" t="str">
        <f t="shared" si="3"/>
        <v>S</v>
      </c>
      <c r="AB6" s="29" t="str">
        <f t="shared" si="3"/>
        <v>M</v>
      </c>
      <c r="AC6" s="29" t="str">
        <f t="shared" si="3"/>
        <v>T</v>
      </c>
      <c r="AD6" s="29" t="str">
        <f t="shared" si="3"/>
        <v>W</v>
      </c>
      <c r="AE6" s="29" t="str">
        <f t="shared" si="3"/>
        <v>T</v>
      </c>
      <c r="AF6" s="29" t="str">
        <f t="shared" si="3"/>
        <v>F</v>
      </c>
      <c r="AG6" s="29" t="str">
        <f t="shared" si="3"/>
        <v>S</v>
      </c>
      <c r="AH6" s="29" t="str">
        <f t="shared" si="3"/>
        <v>S</v>
      </c>
      <c r="AI6" s="29" t="str">
        <f t="shared" si="3"/>
        <v>M</v>
      </c>
      <c r="AJ6" s="29" t="str">
        <f t="shared" si="3"/>
        <v>T</v>
      </c>
      <c r="AK6" s="29" t="str">
        <f t="shared" si="3"/>
        <v>W</v>
      </c>
      <c r="AL6" s="29" t="str">
        <f t="shared" si="3"/>
        <v>T</v>
      </c>
      <c r="AM6" s="29" t="str">
        <f t="shared" ref="AM6:BJ6" si="4">LEFT(TEXT(AM5,"ddd"),1)</f>
        <v>F</v>
      </c>
      <c r="AN6" s="29" t="str">
        <f t="shared" si="4"/>
        <v>S</v>
      </c>
      <c r="AO6" s="29" t="str">
        <f t="shared" si="4"/>
        <v>S</v>
      </c>
      <c r="AP6" s="29" t="str">
        <f t="shared" si="4"/>
        <v>M</v>
      </c>
      <c r="AQ6" s="29" t="str">
        <f t="shared" si="4"/>
        <v>T</v>
      </c>
      <c r="AR6" s="29" t="str">
        <f t="shared" si="4"/>
        <v>W</v>
      </c>
      <c r="AS6" s="29" t="str">
        <f t="shared" si="4"/>
        <v>T</v>
      </c>
      <c r="AT6" s="29" t="str">
        <f t="shared" si="4"/>
        <v>F</v>
      </c>
      <c r="AU6" s="29" t="str">
        <f t="shared" si="4"/>
        <v>S</v>
      </c>
      <c r="AV6" s="29" t="str">
        <f t="shared" si="4"/>
        <v>S</v>
      </c>
      <c r="AW6" s="29" t="str">
        <f t="shared" si="4"/>
        <v>M</v>
      </c>
      <c r="AX6" s="29" t="str">
        <f t="shared" si="4"/>
        <v>T</v>
      </c>
      <c r="AY6" s="29" t="str">
        <f t="shared" si="4"/>
        <v>W</v>
      </c>
      <c r="AZ6" s="29" t="str">
        <f t="shared" si="4"/>
        <v>T</v>
      </c>
      <c r="BA6" s="29" t="str">
        <f t="shared" si="4"/>
        <v>F</v>
      </c>
      <c r="BB6" s="29" t="str">
        <f t="shared" si="4"/>
        <v>S</v>
      </c>
      <c r="BC6" s="29" t="str">
        <f t="shared" si="4"/>
        <v>S</v>
      </c>
      <c r="BD6" s="29" t="str">
        <f t="shared" si="4"/>
        <v>M</v>
      </c>
      <c r="BE6" s="29" t="str">
        <f t="shared" si="4"/>
        <v>T</v>
      </c>
      <c r="BF6" s="29" t="str">
        <f t="shared" si="4"/>
        <v>W</v>
      </c>
      <c r="BG6" s="29" t="str">
        <f t="shared" si="4"/>
        <v>T</v>
      </c>
      <c r="BH6" s="29" t="str">
        <f t="shared" si="4"/>
        <v>F</v>
      </c>
      <c r="BI6" s="29" t="str">
        <f t="shared" si="4"/>
        <v>S</v>
      </c>
      <c r="BJ6" s="30" t="str">
        <f t="shared" si="4"/>
        <v>S</v>
      </c>
    </row>
    <row r="7" spans="1:62" s="21" customFormat="1" ht="30" hidden="1" customHeight="1" thickBot="1" x14ac:dyDescent="0.25">
      <c r="A7" s="12" t="s">
        <v>6</v>
      </c>
      <c r="B7" s="31"/>
      <c r="C7" s="31"/>
      <c r="D7" s="31"/>
      <c r="E7" s="76"/>
      <c r="F7" s="76" t="str">
        <f>IF(OR(ISBLANK(task_start),ISBLANK(task_end)),"",task_end-task_start+1)</f>
        <v/>
      </c>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spans="1:62" s="37" customFormat="1" ht="30" customHeight="1" thickBot="1" x14ac:dyDescent="0.25">
      <c r="A8" s="77"/>
      <c r="B8" s="33" t="s">
        <v>7</v>
      </c>
      <c r="C8" s="34"/>
      <c r="D8" s="35"/>
      <c r="E8" s="14"/>
      <c r="F8" s="4" t="str">
        <f t="shared" ref="F8:F26" si="5">IF(OR(ISBLANK(task_start),ISBLANK(task_end)),"",task_end-task_start+1)</f>
        <v/>
      </c>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row>
    <row r="9" spans="1:62" s="37" customFormat="1" ht="30" customHeight="1" thickBot="1" x14ac:dyDescent="0.25">
      <c r="A9" s="77"/>
      <c r="B9" s="38" t="s">
        <v>29</v>
      </c>
      <c r="C9" s="39">
        <f>Project_Start</f>
        <v>46033</v>
      </c>
      <c r="D9" s="39">
        <f>C9+7</f>
        <v>46040</v>
      </c>
      <c r="E9" s="14"/>
      <c r="F9" s="4">
        <f t="shared" si="5"/>
        <v>8</v>
      </c>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row>
    <row r="10" spans="1:62" s="37" customFormat="1" ht="30" customHeight="1" thickBot="1" x14ac:dyDescent="0.25">
      <c r="A10" s="77"/>
      <c r="B10" s="41" t="s">
        <v>30</v>
      </c>
      <c r="C10" s="42">
        <f>D9+1</f>
        <v>46041</v>
      </c>
      <c r="D10" s="42">
        <f>C10+2</f>
        <v>46043</v>
      </c>
      <c r="E10" s="14"/>
      <c r="F10" s="4">
        <f t="shared" si="5"/>
        <v>3</v>
      </c>
      <c r="G10" s="40"/>
      <c r="H10" s="40"/>
      <c r="I10" s="40"/>
      <c r="J10" s="40"/>
      <c r="K10" s="40"/>
      <c r="L10" s="40"/>
      <c r="M10" s="40"/>
      <c r="N10" s="40"/>
      <c r="O10" s="40"/>
      <c r="P10" s="40"/>
      <c r="Q10" s="40"/>
      <c r="R10" s="40"/>
      <c r="S10" s="43"/>
      <c r="T10" s="43"/>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row>
    <row r="11" spans="1:62" s="37" customFormat="1" ht="30" customHeight="1" thickBot="1" x14ac:dyDescent="0.25">
      <c r="A11" s="12"/>
      <c r="B11" s="41" t="s">
        <v>31</v>
      </c>
      <c r="C11" s="42">
        <f>D10+1</f>
        <v>46044</v>
      </c>
      <c r="D11" s="42">
        <f>C11+3</f>
        <v>46047</v>
      </c>
      <c r="E11" s="14"/>
      <c r="F11" s="4">
        <f t="shared" si="5"/>
        <v>4</v>
      </c>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row>
    <row r="12" spans="1:62" s="37" customFormat="1" ht="30" customHeight="1" thickBot="1" x14ac:dyDescent="0.25">
      <c r="A12" s="77"/>
      <c r="B12" s="44" t="s">
        <v>8</v>
      </c>
      <c r="C12" s="45"/>
      <c r="D12" s="46"/>
      <c r="E12" s="14"/>
      <c r="F12" s="4" t="str">
        <f t="shared" si="5"/>
        <v/>
      </c>
    </row>
    <row r="13" spans="1:62" s="37" customFormat="1" ht="30" customHeight="1" thickBot="1" x14ac:dyDescent="0.25">
      <c r="A13" s="77"/>
      <c r="B13" s="47" t="s">
        <v>9</v>
      </c>
      <c r="C13" s="48">
        <f>D11+1</f>
        <v>46048</v>
      </c>
      <c r="D13" s="48">
        <f>C13+1</f>
        <v>46049</v>
      </c>
      <c r="E13" s="14"/>
      <c r="F13" s="4">
        <f t="shared" si="5"/>
        <v>2</v>
      </c>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row>
    <row r="14" spans="1:62" s="37" customFormat="1" ht="30" customHeight="1" thickBot="1" x14ac:dyDescent="0.25">
      <c r="A14" s="12"/>
      <c r="B14" s="47" t="s">
        <v>32</v>
      </c>
      <c r="C14" s="48">
        <f>C13+2</f>
        <v>46050</v>
      </c>
      <c r="D14" s="48">
        <f>C14+4</f>
        <v>46054</v>
      </c>
      <c r="E14" s="14"/>
      <c r="F14" s="4">
        <f t="shared" si="5"/>
        <v>5</v>
      </c>
      <c r="G14" s="40"/>
      <c r="H14" s="40"/>
      <c r="I14" s="40"/>
      <c r="J14" s="40"/>
      <c r="K14" s="40"/>
      <c r="L14" s="40"/>
      <c r="M14" s="40"/>
      <c r="N14" s="40"/>
      <c r="O14" s="40"/>
      <c r="P14" s="40"/>
      <c r="Q14" s="40"/>
      <c r="R14" s="40"/>
      <c r="S14" s="43"/>
      <c r="T14" s="43"/>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row>
    <row r="15" spans="1:62" s="37" customFormat="1" ht="30" customHeight="1" thickBot="1" x14ac:dyDescent="0.25">
      <c r="A15" s="12"/>
      <c r="B15" s="47" t="s">
        <v>33</v>
      </c>
      <c r="C15" s="48">
        <f>D14+1</f>
        <v>46055</v>
      </c>
      <c r="D15" s="48">
        <f>C15+6</f>
        <v>46061</v>
      </c>
      <c r="E15" s="14"/>
      <c r="F15" s="4">
        <f t="shared" si="5"/>
        <v>7</v>
      </c>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row>
    <row r="16" spans="1:62" s="37" customFormat="1" ht="30" customHeight="1" thickBot="1" x14ac:dyDescent="0.25">
      <c r="A16" s="12"/>
      <c r="B16" s="49" t="s">
        <v>10</v>
      </c>
      <c r="C16" s="50"/>
      <c r="D16" s="51"/>
      <c r="E16" s="14"/>
      <c r="F16" s="4" t="str">
        <f t="shared" si="5"/>
        <v/>
      </c>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row>
    <row r="17" spans="1:62" s="37" customFormat="1" ht="30" customHeight="1" thickBot="1" x14ac:dyDescent="0.25">
      <c r="A17" s="12"/>
      <c r="B17" s="53" t="s">
        <v>34</v>
      </c>
      <c r="C17" s="54">
        <f>D15+1</f>
        <v>46062</v>
      </c>
      <c r="D17" s="54">
        <f>C17+6</f>
        <v>46068</v>
      </c>
      <c r="E17" s="14"/>
      <c r="F17" s="4">
        <f t="shared" si="5"/>
        <v>7</v>
      </c>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row>
    <row r="18" spans="1:62" s="37" customFormat="1" ht="30" customHeight="1" thickBot="1" x14ac:dyDescent="0.25">
      <c r="A18" s="12"/>
      <c r="B18" s="53" t="s">
        <v>35</v>
      </c>
      <c r="C18" s="54">
        <f>D17-4</f>
        <v>46064</v>
      </c>
      <c r="D18" s="54">
        <f>C18+18</f>
        <v>46082</v>
      </c>
      <c r="E18" s="14"/>
      <c r="F18" s="4">
        <f t="shared" si="5"/>
        <v>19</v>
      </c>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row>
    <row r="19" spans="1:62" s="37" customFormat="1" ht="30" customHeight="1" thickBot="1" x14ac:dyDescent="0.25">
      <c r="A19" s="12"/>
      <c r="B19" s="53" t="s">
        <v>36</v>
      </c>
      <c r="C19" s="54">
        <f>D18-5</f>
        <v>46077</v>
      </c>
      <c r="D19" s="54">
        <f>C19+5</f>
        <v>46082</v>
      </c>
      <c r="E19" s="14"/>
      <c r="F19" s="4">
        <f t="shared" si="5"/>
        <v>6</v>
      </c>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row>
    <row r="20" spans="1:62" s="37" customFormat="1" ht="30" customHeight="1" thickBot="1" x14ac:dyDescent="0.25">
      <c r="A20" s="12"/>
      <c r="B20" s="53" t="s">
        <v>38</v>
      </c>
      <c r="C20" s="54">
        <f>D18+1</f>
        <v>46083</v>
      </c>
      <c r="D20" s="54">
        <f>C20+6</f>
        <v>46089</v>
      </c>
      <c r="E20" s="14"/>
      <c r="F20" s="4">
        <f t="shared" si="5"/>
        <v>7</v>
      </c>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row>
    <row r="21" spans="1:62" s="37" customFormat="1" ht="30" customHeight="1" thickBot="1" x14ac:dyDescent="0.25">
      <c r="A21" s="12"/>
      <c r="B21" s="55" t="s">
        <v>12</v>
      </c>
      <c r="C21" s="56"/>
      <c r="D21" s="57"/>
      <c r="E21" s="14"/>
      <c r="F21" s="4" t="str">
        <f t="shared" si="5"/>
        <v/>
      </c>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row>
    <row r="22" spans="1:62" s="37" customFormat="1" ht="30" customHeight="1" thickBot="1" x14ac:dyDescent="0.25">
      <c r="A22" s="12"/>
      <c r="B22" s="59" t="s">
        <v>11</v>
      </c>
      <c r="C22" s="60">
        <f>C17-21</f>
        <v>46041</v>
      </c>
      <c r="D22" s="60">
        <f>C22+48</f>
        <v>46089</v>
      </c>
      <c r="E22" s="14"/>
      <c r="F22" s="4">
        <f t="shared" si="5"/>
        <v>49</v>
      </c>
      <c r="G22" s="40"/>
      <c r="H22" s="40"/>
      <c r="I22" s="40"/>
      <c r="J22" s="40"/>
      <c r="K22" s="40"/>
      <c r="L22" s="40"/>
      <c r="M22" s="40"/>
      <c r="N22" s="91"/>
      <c r="O22" s="40"/>
      <c r="P22" s="40"/>
      <c r="Q22" s="40"/>
      <c r="R22" s="40"/>
      <c r="S22" s="40"/>
      <c r="T22" s="40"/>
      <c r="U22" s="91"/>
      <c r="V22" s="40"/>
      <c r="W22" s="40"/>
      <c r="X22"/>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row>
    <row r="23" spans="1:62" s="37" customFormat="1" ht="30" customHeight="1" thickBot="1" x14ac:dyDescent="0.25">
      <c r="A23" s="12"/>
      <c r="B23" s="59" t="s">
        <v>37</v>
      </c>
      <c r="C23" s="60">
        <f>D22-20</f>
        <v>46069</v>
      </c>
      <c r="D23" s="60">
        <f>C23+20</f>
        <v>46089</v>
      </c>
      <c r="E23" s="14"/>
      <c r="F23" s="4">
        <f t="shared" si="5"/>
        <v>21</v>
      </c>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row>
    <row r="24" spans="1:62" s="37" customFormat="1" ht="30" customHeight="1" thickBot="1" x14ac:dyDescent="0.25">
      <c r="A24" s="12"/>
      <c r="B24" s="59" t="s">
        <v>13</v>
      </c>
      <c r="C24" s="60">
        <f>D23-41</f>
        <v>46048</v>
      </c>
      <c r="D24" s="60">
        <f>C24</f>
        <v>46048</v>
      </c>
      <c r="E24" s="14"/>
      <c r="F24" s="4">
        <f t="shared" si="5"/>
        <v>1</v>
      </c>
      <c r="G24" s="40"/>
      <c r="H24" s="40"/>
      <c r="I24" s="40"/>
      <c r="J24" s="40"/>
      <c r="K24" s="40"/>
      <c r="L24" s="40"/>
      <c r="M24" s="40"/>
      <c r="N24" s="40"/>
      <c r="O24" s="40"/>
      <c r="P24" s="40"/>
      <c r="Q24" s="40"/>
      <c r="R24" s="40"/>
      <c r="S24" s="40"/>
      <c r="T24" s="40"/>
      <c r="U24" s="92"/>
      <c r="V24" s="40"/>
      <c r="W24" s="93"/>
      <c r="X24" s="40"/>
      <c r="Y24" s="40"/>
      <c r="Z24" s="40"/>
      <c r="AA24" s="40"/>
      <c r="AB24" s="92"/>
      <c r="AC24" s="40"/>
      <c r="AD24" s="40"/>
      <c r="AE24" s="40"/>
      <c r="AF24" s="40"/>
      <c r="AG24" s="40"/>
      <c r="AH24" s="40"/>
      <c r="AI24" s="92"/>
      <c r="AJ24" s="40"/>
      <c r="AK24" s="40"/>
      <c r="AL24" s="40"/>
      <c r="AM24" s="40"/>
      <c r="AN24" s="40"/>
      <c r="AO24" s="40"/>
      <c r="AP24" s="92"/>
      <c r="AQ24" s="40"/>
      <c r="AR24" s="40"/>
      <c r="AS24" s="40"/>
      <c r="AT24" s="40"/>
      <c r="AU24" s="40"/>
      <c r="AV24" s="40"/>
      <c r="AW24" s="92"/>
      <c r="AX24" s="40"/>
      <c r="AY24" s="40"/>
      <c r="AZ24" s="40"/>
      <c r="BA24" s="40"/>
      <c r="BB24" s="40"/>
      <c r="BC24" s="40"/>
      <c r="BD24" s="92"/>
      <c r="BE24" s="92"/>
      <c r="BF24" s="92"/>
      <c r="BG24" s="92"/>
      <c r="BH24" s="92"/>
      <c r="BI24" s="92"/>
      <c r="BJ24" s="40"/>
    </row>
    <row r="25" spans="1:62" s="37" customFormat="1" ht="30" customHeight="1" thickBot="1" x14ac:dyDescent="0.25">
      <c r="A25" s="12"/>
      <c r="B25" s="61"/>
      <c r="C25" s="62"/>
      <c r="D25" s="62"/>
      <c r="E25" s="14"/>
      <c r="F25" s="4" t="str">
        <f t="shared" si="5"/>
        <v/>
      </c>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row>
    <row r="26" spans="1:62" s="37" customFormat="1" ht="30" customHeight="1" thickBot="1" x14ac:dyDescent="0.25">
      <c r="A26" s="77"/>
      <c r="B26" s="63" t="s">
        <v>14</v>
      </c>
      <c r="C26" s="64"/>
      <c r="D26" s="65"/>
      <c r="E26" s="14"/>
      <c r="F26" s="5" t="str">
        <f t="shared" si="5"/>
        <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row>
    <row r="27" spans="1:62" ht="30" customHeight="1" x14ac:dyDescent="0.2">
      <c r="E27" s="3"/>
    </row>
    <row r="28" spans="1:62" ht="30" customHeight="1" x14ac:dyDescent="0.2">
      <c r="D28" s="13"/>
    </row>
  </sheetData>
  <mergeCells count="16">
    <mergeCell ref="A5:A6"/>
    <mergeCell ref="B5:B6"/>
    <mergeCell ref="C5:C6"/>
    <mergeCell ref="D5:D6"/>
    <mergeCell ref="O2:X2"/>
    <mergeCell ref="O1:X1"/>
    <mergeCell ref="G1:M1"/>
    <mergeCell ref="G2:M2"/>
    <mergeCell ref="BD4:BJ4"/>
    <mergeCell ref="G4:M4"/>
    <mergeCell ref="N4:T4"/>
    <mergeCell ref="U4:AA4"/>
    <mergeCell ref="AB4:AH4"/>
    <mergeCell ref="AI4:AO4"/>
    <mergeCell ref="AP4:AV4"/>
    <mergeCell ref="AW4:BC4"/>
  </mergeCells>
  <conditionalFormatting sqref="G9:BJ11">
    <cfRule type="expression" dxfId="11" priority="9">
      <formula>AND(task_start&lt;=G$5,ROUNDDOWN((task_end-task_start+1)*task_progress,0)+task_start-1&gt;=G$5)</formula>
    </cfRule>
    <cfRule type="expression" dxfId="10" priority="10" stopIfTrue="1">
      <formula>AND(task_end&gt;=G$5,task_start&lt;H$5)</formula>
    </cfRule>
  </conditionalFormatting>
  <conditionalFormatting sqref="G13:BJ15">
    <cfRule type="expression" dxfId="9" priority="7">
      <formula>AND(task_start&lt;=G$5,ROUNDDOWN((task_end-task_start+1)*task_progress,0)+task_start-1&gt;=G$5)</formula>
    </cfRule>
    <cfRule type="expression" dxfId="8" priority="8" stopIfTrue="1">
      <formula>AND(task_end&gt;=G$5,task_start&lt;H$5)</formula>
    </cfRule>
  </conditionalFormatting>
  <conditionalFormatting sqref="G17:BJ18 G20:BJ20">
    <cfRule type="expression" dxfId="7" priority="5">
      <formula>AND(task_start&lt;=G$5,ROUNDDOWN((task_end-task_start+1)*task_progress,0)+task_start-1&gt;=G$5)</formula>
    </cfRule>
    <cfRule type="expression" dxfId="6" priority="6" stopIfTrue="1">
      <formula>AND(task_end&gt;=G$5,task_start&lt;H$5)</formula>
    </cfRule>
  </conditionalFormatting>
  <conditionalFormatting sqref="G22:BJ24">
    <cfRule type="expression" dxfId="5" priority="39">
      <formula>AND(task_start&lt;=G$5,ROUNDDOWN((task_end-task_start+1)*task_progress,0)+task_start-1&gt;=G$5)</formula>
    </cfRule>
    <cfRule type="expression" dxfId="4" priority="40" stopIfTrue="1">
      <formula>AND(task_end&gt;=G$5,task_start&lt;H$5)</formula>
    </cfRule>
  </conditionalFormatting>
  <conditionalFormatting sqref="G4:BJ18 G20:BJ24">
    <cfRule type="expression" dxfId="3" priority="4">
      <formula>AND(TODAY()&gt;=G$5, TODAY()&lt;H$5)</formula>
    </cfRule>
  </conditionalFormatting>
  <conditionalFormatting sqref="G19:BJ19">
    <cfRule type="expression" dxfId="2" priority="2">
      <formula>AND(task_start&lt;=G$5,ROUNDDOWN((task_end-task_start+1)*task_progress,0)+task_start-1&gt;=G$5)</formula>
    </cfRule>
    <cfRule type="expression" dxfId="1" priority="3" stopIfTrue="1">
      <formula>AND(task_end&gt;=G$5,task_start&lt;H$5)</formula>
    </cfRule>
  </conditionalFormatting>
  <conditionalFormatting sqref="G19:BJ19">
    <cfRule type="expression" dxfId="0" priority="1">
      <formula>AND(TODAY()&gt;=G$5, TODAY()&lt;H$5)</formula>
    </cfRule>
  </conditionalFormatting>
  <dataValidations count="13">
    <dataValidation type="whole" operator="greaterThanOrEqual" allowBlank="1" showInputMessage="1" promptTitle="Display Week" prompt="Changing this number will scroll the Gantt Chart view." sqref="O2">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dataValidation allowBlank="1" showInputMessage="1" showErrorMessage="1" prompt="Enter Company name in cel B2." sqref="A2"/>
    <dataValidation allowBlank="1" showInputMessage="1" showErrorMessage="1" prompt="Enter the name of the Project Lead in cell C3. Enter the Project Start date in cell Q1. Project Start: label is in cell I1." sqref="A3"/>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dataValidation allowBlank="1" showInputMessage="1" showErrorMessage="1" prompt="Cell B8 contains the Phase 1 sample title. Enter a new title in cell B8._x000a_To delete the phase and work only from tasks, simply delete this row." sqref="A8"/>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dataValidation allowBlank="1" showInputMessage="1" showErrorMessage="1" prompt="Phase 3's sample block starts in cell B20." sqref="A16"/>
    <dataValidation allowBlank="1" showInputMessage="1" showErrorMessage="1" prompt="Phase 4's sample block starts in cell B26." sqref="A21"/>
    <dataValidation allowBlank="1" showInputMessage="1" showErrorMessage="1" prompt="This row marks the end of the Project Schedule. DO NOT enter anything in this row. _x000a_Insert new rows ABOVE this one to continue building out your Project Schedule." sqref="A26"/>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showGridLines="0" zoomScaleNormal="100" workbookViewId="0"/>
  </sheetViews>
  <sheetFormatPr defaultColWidth="9" defaultRowHeight="12.75" x14ac:dyDescent="0.2"/>
  <cols>
    <col min="1" max="1" width="87" style="6" customWidth="1"/>
    <col min="2" max="16384" width="9" style="1"/>
  </cols>
  <sheetData>
    <row r="1" spans="1:2" ht="46.5" customHeight="1" x14ac:dyDescent="0.2"/>
    <row r="2" spans="1:2" s="8" customFormat="1" ht="15.75" x14ac:dyDescent="0.2">
      <c r="A2" s="69" t="s">
        <v>2</v>
      </c>
      <c r="B2" s="7"/>
    </row>
    <row r="3" spans="1:2" s="10" customFormat="1" ht="27" customHeight="1" x14ac:dyDescent="0.2">
      <c r="A3" s="70"/>
      <c r="B3" s="11"/>
    </row>
    <row r="4" spans="1:2" s="9" customFormat="1" ht="31.5" x14ac:dyDescent="0.6">
      <c r="A4" s="71" t="s">
        <v>15</v>
      </c>
    </row>
    <row r="5" spans="1:2" ht="74.25" customHeight="1" x14ac:dyDescent="0.2">
      <c r="A5" s="72" t="s">
        <v>16</v>
      </c>
    </row>
    <row r="6" spans="1:2" ht="26.25" customHeight="1" x14ac:dyDescent="0.2">
      <c r="A6" s="71" t="s">
        <v>17</v>
      </c>
    </row>
    <row r="7" spans="1:2" s="6" customFormat="1" ht="205.15" customHeight="1" x14ac:dyDescent="0.2">
      <c r="A7" s="73" t="s">
        <v>18</v>
      </c>
    </row>
    <row r="8" spans="1:2" s="9" customFormat="1" ht="31.5" x14ac:dyDescent="0.6">
      <c r="A8" s="71" t="s">
        <v>19</v>
      </c>
    </row>
    <row r="9" spans="1:2" ht="57" x14ac:dyDescent="0.2">
      <c r="A9" s="72" t="s">
        <v>20</v>
      </c>
    </row>
    <row r="10" spans="1:2" s="6" customFormat="1" ht="28.15" customHeight="1" x14ac:dyDescent="0.2">
      <c r="A10" s="74" t="s">
        <v>21</v>
      </c>
    </row>
    <row r="11" spans="1:2" s="9" customFormat="1" ht="31.5" x14ac:dyDescent="0.6">
      <c r="A11" s="71" t="s">
        <v>22</v>
      </c>
    </row>
    <row r="12" spans="1:2" ht="28.5" x14ac:dyDescent="0.2">
      <c r="A12" s="72" t="s">
        <v>23</v>
      </c>
    </row>
    <row r="13" spans="1:2" s="6" customFormat="1" ht="28.15" customHeight="1" x14ac:dyDescent="0.2">
      <c r="A13" s="74" t="s">
        <v>24</v>
      </c>
    </row>
    <row r="14" spans="1:2" s="9" customFormat="1" ht="31.5" x14ac:dyDescent="0.6">
      <c r="A14" s="71" t="s">
        <v>25</v>
      </c>
    </row>
    <row r="15" spans="1:2" ht="75" customHeight="1" x14ac:dyDescent="0.2">
      <c r="A15" s="72" t="s">
        <v>26</v>
      </c>
    </row>
    <row r="16" spans="1:2" ht="71.25" x14ac:dyDescent="0.2">
      <c r="A16" s="72" t="s">
        <v>27</v>
      </c>
    </row>
    <row r="17" spans="1:1" x14ac:dyDescent="0.2">
      <c r="A17" s="75"/>
    </row>
    <row r="18" spans="1:1" x14ac:dyDescent="0.2">
      <c r="A18" s="75"/>
    </row>
    <row r="19" spans="1:1" x14ac:dyDescent="0.2">
      <c r="A19" s="75"/>
    </row>
    <row r="20" spans="1:1" x14ac:dyDescent="0.2">
      <c r="A20" s="75"/>
    </row>
    <row r="21" spans="1:1" x14ac:dyDescent="0.2">
      <c r="A21" s="75"/>
    </row>
    <row r="22" spans="1:1" x14ac:dyDescent="0.2">
      <c r="A22" s="75"/>
    </row>
    <row r="23" spans="1:1" x14ac:dyDescent="0.2">
      <c r="A23" s="75"/>
    </row>
    <row r="24" spans="1:1" x14ac:dyDescent="0.2">
      <c r="A24" s="75"/>
    </row>
  </sheetData>
  <hyperlinks>
    <hyperlink ref="A13" r:id="rId1"/>
    <hyperlink ref="A10" r:id="rId2"/>
    <hyperlink ref="A2" r:id="rId3"/>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schemas.microsoft.com/office/2006/documentManagement/types"/>
    <ds:schemaRef ds:uri="http://schemas.microsoft.com/office/infopath/2007/PartnerControls"/>
    <ds:schemaRef ds:uri="http://schemas.microsoft.com/sharepoint/v3"/>
    <ds:schemaRef ds:uri="230e9df3-be65-4c73-a93b-d1236ebd677e"/>
    <ds:schemaRef ds:uri="http://purl.org/dc/terms/"/>
    <ds:schemaRef ds:uri="http://schemas.openxmlformats.org/package/2006/metadata/core-properties"/>
    <ds:schemaRef ds:uri="16c05727-aa75-4e4a-9b5f-8a80a1165891"/>
    <ds:schemaRef ds:uri="http://purl.org/dc/dcmitype/"/>
    <ds:schemaRef ds:uri="http://purl.org/dc/elements/1.1/"/>
    <ds:schemaRef ds:uri="http://schemas.microsoft.com/office/2006/metadata/properties"/>
    <ds:schemaRef ds:uri="71af3243-3dd4-4a8d-8c0d-dd76da1f02a5"/>
    <ds:schemaRef ds:uri="http://www.w3.org/XML/1998/namespace"/>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 schedule</vt:lpstr>
      <vt:lpstr>About</vt:lpstr>
      <vt:lpstr>Display_Week</vt:lpstr>
      <vt:lpstr>'Project schedule'!Print_Titles</vt:lpstr>
      <vt:lpstr>Project_Start</vt:lpstr>
      <vt:lpstr>'Project schedule'!task_end</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Nirmal</cp:lastModifiedBy>
  <cp:revision/>
  <dcterms:created xsi:type="dcterms:W3CDTF">2026-02-14T16:34:17Z</dcterms:created>
  <dcterms:modified xsi:type="dcterms:W3CDTF">2026-02-14T18:25:45Z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